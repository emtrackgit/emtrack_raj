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oject Plan" sheetId="2" r:id="rId5"/>
    <sheet name="Week 2" sheetId="3" r:id="rId6"/>
    <sheet name="Week 1" sheetId="4" r:id="rId7"/>
  </sheets>
</workbook>
</file>

<file path=xl/sharedStrings.xml><?xml version="1.0" encoding="utf-8"?>
<sst xmlns="http://schemas.openxmlformats.org/spreadsheetml/2006/main" uniqueCount="115">
  <si>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</si>
  <si>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</si>
  <si>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</si>
  <si>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</si>
  <si>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</si>
  <si>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</si>
  <si>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Project Plan</t>
  </si>
  <si>
    <r>
      <rPr>
        <u val="single"/>
        <sz val="12"/>
        <color indexed="11"/>
        <rFont val="Calibri"/>
      </rPr>
      <t>Project Plan</t>
    </r>
  </si>
  <si>
    <t>Week 2</t>
  </si>
  <si>
    <r>
      <rPr>
        <u val="single"/>
        <sz val="12"/>
        <color indexed="11"/>
        <rFont val="Calibri"/>
      </rPr>
      <t>Week 2</t>
    </r>
  </si>
  <si>
    <t>Week 1</t>
  </si>
  <si>
    <r>
      <rPr>
        <u val="single"/>
        <sz val="12"/>
        <color indexed="11"/>
        <rFont val="Calibri"/>
      </rPr>
      <t>Week 1</t>
    </r>
  </si>
  <si>
    <t>Yokohama : Emtrack Mobile App Revamp &amp; Rebranding Development Project Plan*</t>
  </si>
  <si>
    <t xml:space="preserve">Duration </t>
  </si>
  <si>
    <t>Planned</t>
  </si>
  <si>
    <t>Actual</t>
  </si>
  <si>
    <t xml:space="preserve">Work </t>
  </si>
  <si>
    <t>Sr. No.</t>
  </si>
  <si>
    <t>Phases</t>
  </si>
  <si>
    <t>Major Activities</t>
  </si>
  <si>
    <t>Time / Days</t>
  </si>
  <si>
    <t>Start Date</t>
  </si>
  <si>
    <t>End Date</t>
  </si>
  <si>
    <t>Status %</t>
  </si>
  <si>
    <t>Project Kick-off</t>
  </si>
  <si>
    <t>Introduction of Teams</t>
  </si>
  <si>
    <t>Requirements</t>
  </si>
  <si>
    <t>Overview of Requirements - Feature Mapping Old and New Screens</t>
  </si>
  <si>
    <t>Requirement Analysis - API changes analysis</t>
  </si>
  <si>
    <t>SRS-Requirement Document Review</t>
  </si>
  <si>
    <t>SRS-Requirement Document Sign-off</t>
  </si>
  <si>
    <t>Design</t>
  </si>
  <si>
    <t xml:space="preserve">Screen Design and UI </t>
  </si>
  <si>
    <t>Modern UI Design - Wireframes</t>
  </si>
  <si>
    <t>Wireframes - UI Design Review</t>
  </si>
  <si>
    <t>Wireframes - UI Design Sign-off</t>
  </si>
  <si>
    <t xml:space="preserve">
Development</t>
  </si>
  <si>
    <t>Login</t>
  </si>
  <si>
    <t>Home</t>
  </si>
  <si>
    <t>account-list-modal</t>
  </si>
  <si>
    <t>add-tire</t>
  </si>
  <si>
    <t>admin-inspection-request</t>
  </si>
  <si>
    <t>change-location-account</t>
  </si>
  <si>
    <t>create-new-tire</t>
  </si>
  <si>
    <t>create-new-vehicle</t>
  </si>
  <si>
    <t>edit-tire</t>
  </si>
  <si>
    <t>edit-vehicle</t>
  </si>
  <si>
    <t>filter-popup-vehicle</t>
  </si>
  <si>
    <t>filterpopup</t>
  </si>
  <si>
    <t>inspect-tire</t>
  </si>
  <si>
    <t>inspect-vehicle</t>
  </si>
  <si>
    <t>inspection-request</t>
  </si>
  <si>
    <t>inspection-summary</t>
  </si>
  <si>
    <t>normal-inspection-request</t>
  </si>
  <si>
    <t>offline-sync</t>
  </si>
  <si>
    <t>preferences</t>
  </si>
  <si>
    <t>reject-request</t>
  </si>
  <si>
    <t>remove-tire</t>
  </si>
  <si>
    <t>rotate-tire</t>
  </si>
  <si>
    <t>search-install-tire</t>
  </si>
  <si>
    <t>search-vehicle-tyre</t>
  </si>
  <si>
    <t>select-account-location</t>
  </si>
  <si>
    <t>select-location</t>
  </si>
  <si>
    <t>update-hours</t>
  </si>
  <si>
    <t>vehicle-inspection</t>
  </si>
  <si>
    <t>view-all-tire</t>
  </si>
  <si>
    <t>view-all-vehicle</t>
  </si>
  <si>
    <t>view-inspect-tire</t>
  </si>
  <si>
    <t>view-inspections</t>
  </si>
  <si>
    <t>view-tire</t>
  </si>
  <si>
    <t>view-vehicle</t>
  </si>
  <si>
    <t>view-vehicle-inspection</t>
  </si>
  <si>
    <t>Logout</t>
  </si>
  <si>
    <t>user management/super admin page</t>
  </si>
  <si>
    <t>Unit Testing</t>
  </si>
  <si>
    <t xml:space="preserve">Functional Validation (Test Cases) </t>
  </si>
  <si>
    <t>Bug Reporting &amp; Defect Fixing</t>
  </si>
  <si>
    <t xml:space="preserve">Final Working Portal &amp; share Test Cases with Yokohama </t>
  </si>
  <si>
    <t>Deployment</t>
  </si>
  <si>
    <t>Deployment Document creation(include User Manual)</t>
  </si>
  <si>
    <t>Ready for UAT</t>
  </si>
  <si>
    <t>UAT</t>
  </si>
  <si>
    <t>UAT by Business Users</t>
  </si>
  <si>
    <t>UAT Sign-Off</t>
  </si>
  <si>
    <t>VAPT Testing</t>
  </si>
  <si>
    <t xml:space="preserve">VAPT Testing </t>
  </si>
  <si>
    <t xml:space="preserve">Final Working Portal </t>
  </si>
  <si>
    <t>Go Live</t>
  </si>
  <si>
    <t>KT to Support Team</t>
  </si>
  <si>
    <t>Deployment to Production</t>
  </si>
  <si>
    <t>GO LIVE Sign-Off</t>
  </si>
  <si>
    <t>Support/Train the Trainer</t>
  </si>
  <si>
    <t xml:space="preserve">Resolve issues, if any
</t>
  </si>
  <si>
    <t xml:space="preserve">Project Kick-Start Date </t>
  </si>
  <si>
    <t xml:space="preserve">Week # </t>
  </si>
  <si>
    <t>Project Phase</t>
  </si>
  <si>
    <t xml:space="preserve"> Screen Design, Review and  Sign-Off </t>
  </si>
  <si>
    <t>WK - Start Date</t>
  </si>
  <si>
    <t>WK - End Date</t>
  </si>
  <si>
    <t xml:space="preserve">Sr. </t>
  </si>
  <si>
    <t>Date</t>
  </si>
  <si>
    <t>Sub-Task</t>
  </si>
  <si>
    <t xml:space="preserve">Status </t>
  </si>
  <si>
    <t xml:space="preserve">SPOC </t>
  </si>
  <si>
    <t>Resolution</t>
  </si>
  <si>
    <t xml:space="preserve">Close Date </t>
  </si>
  <si>
    <t>Remarks</t>
  </si>
  <si>
    <t>Completed</t>
  </si>
  <si>
    <t>Wireframes - UI Design</t>
  </si>
  <si>
    <t>Wireframes - UI Design Document sent for Review &amp; Signoff</t>
  </si>
  <si>
    <t xml:space="preserve"> Scope Review and  Sign-Off </t>
  </si>
  <si>
    <t xml:space="preserve">Project Kick-off meeting 
</t>
  </si>
  <si>
    <t>Overview of Requirements &amp; Requirement Analysis</t>
  </si>
  <si>
    <t>SRS Document Creation</t>
  </si>
  <si>
    <t>SRS Document walkthru and sent for Review &amp; Signoff</t>
  </si>
</sst>
</file>

<file path=xl/styles.xml><?xml version="1.0" encoding="utf-8"?>
<styleSheet xmlns="http://schemas.openxmlformats.org/spreadsheetml/2006/main">
  <numFmts count="5">
    <numFmt numFmtId="0" formatCode="General"/>
    <numFmt numFmtId="59" formatCode="d/m/yyyy"/>
    <numFmt numFmtId="60" formatCode="d-m-yy"/>
    <numFmt numFmtId="61" formatCode="d/m/yy h:mm:ss AM/PM"/>
    <numFmt numFmtId="62" formatCode="d&quot;-&quot;mmm&quot;-&quot;yy"/>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sz val="11"/>
      <color indexed="13"/>
      <name val="Calibri"/>
    </font>
    <font>
      <b val="1"/>
      <sz val="10"/>
      <color indexed="13"/>
      <name val="Calibri"/>
    </font>
    <font>
      <sz val="10"/>
      <color indexed="13"/>
      <name val="Calibri"/>
    </font>
    <font>
      <b val="1"/>
      <sz val="10"/>
      <color indexed="8"/>
      <name val="Calibri"/>
    </font>
    <font>
      <sz val="10"/>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8"/>
        <bgColor auto="1"/>
      </patternFill>
    </fill>
  </fills>
  <borders count="3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8"/>
      </bottom>
      <diagonal/>
    </border>
    <border>
      <left style="thin">
        <color indexed="12"/>
      </left>
      <right style="medium">
        <color indexed="8"/>
      </right>
      <top style="thin">
        <color indexed="12"/>
      </top>
      <bottom style="thin">
        <color indexed="12"/>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thin">
        <color indexed="12"/>
      </left>
      <right style="thin">
        <color indexed="12"/>
      </right>
      <top style="medium">
        <color indexed="8"/>
      </top>
      <bottom style="medium">
        <color indexed="8"/>
      </bottom>
      <diagonal/>
    </border>
  </borders>
  <cellStyleXfs count="1">
    <xf numFmtId="0" fontId="0" applyNumberFormat="0" applyFont="1" applyFill="0" applyBorder="0" applyAlignment="1" applyProtection="0">
      <alignment vertical="bottom"/>
    </xf>
  </cellStyleXfs>
  <cellXfs count="12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1" applyNumberFormat="0" applyFont="1" applyFill="1" applyBorder="1" applyAlignment="1" applyProtection="0">
      <alignment vertical="top"/>
    </xf>
    <xf numFmtId="0" fontId="0" fillId="4" borderId="12" applyNumberFormat="0" applyFont="1" applyFill="1" applyBorder="1" applyAlignment="1" applyProtection="0">
      <alignment vertical="bottom"/>
    </xf>
    <xf numFmtId="49" fontId="6" fillId="5" borderId="13" applyNumberFormat="1" applyFont="1" applyFill="1" applyBorder="1" applyAlignment="1" applyProtection="0">
      <alignment horizontal="center" vertical="bottom"/>
    </xf>
    <xf numFmtId="0" fontId="6" fillId="5" borderId="14" applyNumberFormat="0" applyFont="1" applyFill="1" applyBorder="1" applyAlignment="1" applyProtection="0">
      <alignment horizontal="center" vertical="bottom"/>
    </xf>
    <xf numFmtId="0" fontId="6" fillId="5" borderId="15" applyNumberFormat="0" applyFont="1" applyFill="1" applyBorder="1" applyAlignment="1" applyProtection="0">
      <alignment horizontal="center" vertical="bottom"/>
    </xf>
    <xf numFmtId="49" fontId="0" fillId="5" borderId="16" applyNumberFormat="1" applyFont="1" applyFill="1" applyBorder="1" applyAlignment="1" applyProtection="0">
      <alignment vertical="bottom"/>
    </xf>
    <xf numFmtId="0" fontId="0" fillId="4" borderId="17" applyNumberFormat="0" applyFont="1" applyFill="1" applyBorder="1" applyAlignment="1" applyProtection="0">
      <alignment vertical="bottom"/>
    </xf>
    <xf numFmtId="49" fontId="0" fillId="5" borderId="18" applyNumberFormat="1" applyFont="1" applyFill="1" applyBorder="1" applyAlignment="1" applyProtection="0">
      <alignment vertical="bottom"/>
    </xf>
    <xf numFmtId="49" fontId="0" fillId="5" borderId="19" applyNumberFormat="1" applyFont="1" applyFill="1" applyBorder="1" applyAlignment="1" applyProtection="0">
      <alignment vertical="bottom"/>
    </xf>
    <xf numFmtId="49" fontId="0" fillId="5" borderId="20" applyNumberFormat="1" applyFont="1" applyFill="1" applyBorder="1" applyAlignment="1" applyProtection="0">
      <alignment vertical="top"/>
    </xf>
    <xf numFmtId="49" fontId="0" fillId="5" borderId="21" applyNumberFormat="1" applyFont="1" applyFill="1" applyBorder="1" applyAlignment="1" applyProtection="0">
      <alignment vertical="bottom"/>
    </xf>
    <xf numFmtId="49" fontId="0" fillId="5" borderId="20" applyNumberFormat="1" applyFont="1" applyFill="1" applyBorder="1" applyAlignment="1" applyProtection="0">
      <alignment vertical="bottom"/>
    </xf>
    <xf numFmtId="0" fontId="0" fillId="4" borderId="22" applyNumberFormat="1" applyFont="1" applyFill="1" applyBorder="1" applyAlignment="1" applyProtection="0">
      <alignment vertical="bottom"/>
    </xf>
    <xf numFmtId="49" fontId="0" fillId="4" borderId="23" applyNumberFormat="1" applyFont="1" applyFill="1" applyBorder="1" applyAlignment="1" applyProtection="0">
      <alignment horizontal="center" vertical="center"/>
    </xf>
    <xf numFmtId="49" fontId="0" fillId="4" borderId="23" applyNumberFormat="1" applyFont="1" applyFill="1" applyBorder="1" applyAlignment="1" applyProtection="0">
      <alignment vertical="top"/>
    </xf>
    <xf numFmtId="0" fontId="0" fillId="4" borderId="23" applyNumberFormat="1" applyFont="1" applyFill="1" applyBorder="1" applyAlignment="1" applyProtection="0">
      <alignment vertical="center"/>
    </xf>
    <xf numFmtId="15" fontId="0" fillId="4" borderId="23" applyNumberFormat="1" applyFont="1" applyFill="1" applyBorder="1" applyAlignment="1" applyProtection="0">
      <alignment vertical="center"/>
    </xf>
    <xf numFmtId="15" fontId="0" fillId="4" borderId="24" applyNumberFormat="1" applyFont="1" applyFill="1" applyBorder="1" applyAlignment="1" applyProtection="0">
      <alignment vertical="center"/>
    </xf>
    <xf numFmtId="0" fontId="0" fillId="4" borderId="25" applyNumberFormat="1" applyFont="1" applyFill="1" applyBorder="1" applyAlignment="1" applyProtection="0">
      <alignment vertical="bottom"/>
    </xf>
    <xf numFmtId="0" fontId="0" fillId="4" borderId="13" applyNumberFormat="1" applyFont="1" applyFill="1" applyBorder="1" applyAlignment="1" applyProtection="0">
      <alignment vertical="bottom"/>
    </xf>
    <xf numFmtId="49" fontId="0" fillId="4" borderId="14" applyNumberFormat="1" applyFont="1" applyFill="1" applyBorder="1" applyAlignment="1" applyProtection="0">
      <alignment horizontal="center" vertical="center"/>
    </xf>
    <xf numFmtId="49" fontId="0" fillId="4" borderId="14" applyNumberFormat="1" applyFont="1" applyFill="1" applyBorder="1" applyAlignment="1" applyProtection="0">
      <alignment vertical="top"/>
    </xf>
    <xf numFmtId="0" fontId="0" fillId="4" borderId="14" applyNumberFormat="1" applyFont="1" applyFill="1" applyBorder="1" applyAlignment="1" applyProtection="0">
      <alignment vertical="center"/>
    </xf>
    <xf numFmtId="15" fontId="0" fillId="4" borderId="14" applyNumberFormat="1" applyFont="1" applyFill="1" applyBorder="1" applyAlignment="1" applyProtection="0">
      <alignment vertical="center"/>
    </xf>
    <xf numFmtId="15" fontId="0" fillId="4" borderId="15" applyNumberFormat="1" applyFont="1" applyFill="1" applyBorder="1" applyAlignment="1" applyProtection="0">
      <alignment vertical="center"/>
    </xf>
    <xf numFmtId="0" fontId="0" fillId="4" borderId="16" applyNumberFormat="1" applyFont="1" applyFill="1" applyBorder="1" applyAlignment="1" applyProtection="0">
      <alignment vertical="bottom"/>
    </xf>
    <xf numFmtId="0" fontId="0" fillId="4" borderId="26" applyNumberFormat="1" applyFont="1" applyFill="1" applyBorder="1" applyAlignment="1" applyProtection="0">
      <alignment vertical="bottom"/>
    </xf>
    <xf numFmtId="0" fontId="0" fillId="4" borderId="27" applyNumberFormat="0" applyFont="1" applyFill="1" applyBorder="1" applyAlignment="1" applyProtection="0">
      <alignment horizontal="center" vertical="center"/>
    </xf>
    <xf numFmtId="49" fontId="0" fillId="4" borderId="27" applyNumberFormat="1" applyFont="1" applyFill="1" applyBorder="1" applyAlignment="1" applyProtection="0">
      <alignment vertical="top"/>
    </xf>
    <xf numFmtId="0" fontId="0" fillId="4" borderId="27" applyNumberFormat="1" applyFont="1" applyFill="1" applyBorder="1" applyAlignment="1" applyProtection="0">
      <alignment vertical="center"/>
    </xf>
    <xf numFmtId="15" fontId="0" fillId="4" borderId="27" applyNumberFormat="1" applyFont="1" applyFill="1" applyBorder="1" applyAlignment="1" applyProtection="0">
      <alignment vertical="center"/>
    </xf>
    <xf numFmtId="15" fontId="0" fillId="4" borderId="28" applyNumberFormat="1" applyFont="1" applyFill="1" applyBorder="1" applyAlignment="1" applyProtection="0">
      <alignment vertical="center"/>
    </xf>
    <xf numFmtId="0" fontId="0" fillId="4" borderId="29" applyNumberFormat="1" applyFont="1" applyFill="1" applyBorder="1" applyAlignment="1" applyProtection="0">
      <alignment vertical="bottom"/>
    </xf>
    <xf numFmtId="0" fontId="0" fillId="4" borderId="18" applyNumberFormat="1" applyFont="1" applyFill="1" applyBorder="1" applyAlignment="1" applyProtection="0">
      <alignment vertical="bottom"/>
    </xf>
    <xf numFmtId="0" fontId="0" fillId="4" borderId="19" applyNumberFormat="0" applyFont="1" applyFill="1" applyBorder="1" applyAlignment="1" applyProtection="0">
      <alignment horizontal="center" vertical="center"/>
    </xf>
    <xf numFmtId="49" fontId="0" fillId="4" borderId="19" applyNumberFormat="1" applyFont="1" applyFill="1" applyBorder="1" applyAlignment="1" applyProtection="0">
      <alignment vertical="top"/>
    </xf>
    <xf numFmtId="0" fontId="0" fillId="4" borderId="19" applyNumberFormat="1" applyFont="1" applyFill="1" applyBorder="1" applyAlignment="1" applyProtection="0">
      <alignment vertical="center"/>
    </xf>
    <xf numFmtId="15" fontId="0" fillId="4" borderId="19" applyNumberFormat="1" applyFont="1" applyFill="1" applyBorder="1" applyAlignment="1" applyProtection="0">
      <alignment vertical="center"/>
    </xf>
    <xf numFmtId="15" fontId="0" fillId="4" borderId="20" applyNumberFormat="1" applyFont="1" applyFill="1" applyBorder="1" applyAlignment="1" applyProtection="0">
      <alignment vertical="center"/>
    </xf>
    <xf numFmtId="0" fontId="0" fillId="4" borderId="21" applyNumberFormat="1" applyFont="1" applyFill="1" applyBorder="1" applyAlignment="1" applyProtection="0">
      <alignment vertical="bottom"/>
    </xf>
    <xf numFmtId="49" fontId="0" fillId="4" borderId="14" applyNumberFormat="1" applyFont="1" applyFill="1" applyBorder="1" applyAlignment="1" applyProtection="0">
      <alignment vertical="top" wrapText="1"/>
    </xf>
    <xf numFmtId="0" fontId="0" fillId="4" borderId="15" applyNumberFormat="0" applyFont="1" applyFill="1" applyBorder="1" applyAlignment="1" applyProtection="0">
      <alignment vertical="center"/>
    </xf>
    <xf numFmtId="49" fontId="0" fillId="4" borderId="14" applyNumberFormat="1" applyFont="1" applyFill="1" applyBorder="1" applyAlignment="1" applyProtection="0">
      <alignment horizontal="center" vertical="top" wrapText="1"/>
    </xf>
    <xf numFmtId="49" fontId="0" fillId="4" borderId="14" applyNumberFormat="1" applyFont="1" applyFill="1" applyBorder="1" applyAlignment="1" applyProtection="0">
      <alignment horizontal="left" vertical="top" wrapText="1"/>
    </xf>
    <xf numFmtId="0" fontId="0" fillId="4" borderId="14" applyNumberFormat="1" applyFont="1" applyFill="1" applyBorder="1" applyAlignment="1" applyProtection="0">
      <alignment vertical="top"/>
    </xf>
    <xf numFmtId="59" fontId="0" fillId="4" borderId="14" applyNumberFormat="1" applyFont="1" applyFill="1" applyBorder="1" applyAlignment="1" applyProtection="0">
      <alignment vertical="center"/>
    </xf>
    <xf numFmtId="60" fontId="0" fillId="4" borderId="15" applyNumberFormat="1" applyFont="1" applyFill="1" applyBorder="1" applyAlignment="1" applyProtection="0">
      <alignment vertical="center"/>
    </xf>
    <xf numFmtId="0" fontId="0" fillId="4" borderId="27" applyNumberFormat="0" applyFont="1" applyFill="1" applyBorder="1" applyAlignment="1" applyProtection="0">
      <alignment horizontal="center" vertical="top"/>
    </xf>
    <xf numFmtId="49" fontId="0" fillId="4" borderId="27" applyNumberFormat="1" applyFont="1" applyFill="1" applyBorder="1" applyAlignment="1" applyProtection="0">
      <alignment horizontal="left" vertical="top" wrapText="1"/>
    </xf>
    <xf numFmtId="0" fontId="0" fillId="4" borderId="27" applyNumberFormat="1" applyFont="1" applyFill="1" applyBorder="1" applyAlignment="1" applyProtection="0">
      <alignment vertical="top"/>
    </xf>
    <xf numFmtId="0" fontId="0" fillId="4" borderId="27" applyNumberFormat="0" applyFont="1" applyFill="1" applyBorder="1" applyAlignment="1" applyProtection="0">
      <alignment vertical="center"/>
    </xf>
    <xf numFmtId="0" fontId="0" fillId="4" borderId="28" applyNumberFormat="0" applyFont="1" applyFill="1" applyBorder="1" applyAlignment="1" applyProtection="0">
      <alignment vertical="center"/>
    </xf>
    <xf numFmtId="60" fontId="0" fillId="4" borderId="27" applyNumberFormat="1" applyFont="1" applyFill="1" applyBorder="1" applyAlignment="1" applyProtection="0">
      <alignment vertical="center"/>
    </xf>
    <xf numFmtId="0" fontId="7" fillId="4" borderId="27" applyNumberFormat="0" applyFont="1" applyFill="1" applyBorder="1" applyAlignment="1" applyProtection="0">
      <alignment vertical="center"/>
    </xf>
    <xf numFmtId="0" fontId="7" fillId="4" borderId="28" applyNumberFormat="0" applyFont="1" applyFill="1" applyBorder="1" applyAlignment="1" applyProtection="0">
      <alignment vertical="center"/>
    </xf>
    <xf numFmtId="61" fontId="0" fillId="4" borderId="27" applyNumberFormat="1" applyFont="1" applyFill="1" applyBorder="1" applyAlignment="1" applyProtection="0">
      <alignment vertical="center"/>
    </xf>
    <xf numFmtId="0" fontId="0" fillId="4" borderId="29" applyNumberFormat="0" applyFont="1" applyFill="1" applyBorder="1" applyAlignment="1" applyProtection="0">
      <alignment vertical="bottom"/>
    </xf>
    <xf numFmtId="0" fontId="0" fillId="4" borderId="19" applyNumberFormat="0" applyFont="1" applyFill="1" applyBorder="1" applyAlignment="1" applyProtection="0">
      <alignment horizontal="center" vertical="top"/>
    </xf>
    <xf numFmtId="49" fontId="0" fillId="4" borderId="19" applyNumberFormat="1" applyFont="1" applyFill="1" applyBorder="1" applyAlignment="1" applyProtection="0">
      <alignment horizontal="left" vertical="top" wrapText="1"/>
    </xf>
    <xf numFmtId="0" fontId="0" fillId="4" borderId="19" applyNumberFormat="1" applyFont="1" applyFill="1" applyBorder="1" applyAlignment="1" applyProtection="0">
      <alignment vertical="top"/>
    </xf>
    <xf numFmtId="0" fontId="7" fillId="4" borderId="19" applyNumberFormat="0" applyFont="1" applyFill="1" applyBorder="1" applyAlignment="1" applyProtection="0">
      <alignment vertical="center"/>
    </xf>
    <xf numFmtId="0" fontId="7" fillId="4" borderId="20" applyNumberFormat="0" applyFont="1" applyFill="1" applyBorder="1" applyAlignment="1" applyProtection="0">
      <alignment vertical="center"/>
    </xf>
    <xf numFmtId="0" fontId="0" fillId="4" borderId="14" applyNumberFormat="0" applyFont="1" applyFill="1" applyBorder="1" applyAlignment="1" applyProtection="0">
      <alignment vertical="center"/>
    </xf>
    <xf numFmtId="0" fontId="0" fillId="4" borderId="19" applyNumberFormat="0" applyFont="1" applyFill="1" applyBorder="1" applyAlignment="1" applyProtection="0">
      <alignment vertical="center"/>
    </xf>
    <xf numFmtId="0" fontId="0" fillId="4" borderId="20" applyNumberFormat="0" applyFont="1" applyFill="1" applyBorder="1" applyAlignment="1" applyProtection="0">
      <alignment vertical="center"/>
    </xf>
    <xf numFmtId="49" fontId="0" fillId="4" borderId="23" applyNumberFormat="1" applyFont="1" applyFill="1" applyBorder="1" applyAlignment="1" applyProtection="0">
      <alignment horizontal="center" vertical="center" wrapText="1"/>
    </xf>
    <xf numFmtId="49" fontId="0" fillId="4" borderId="23" applyNumberFormat="1" applyFont="1" applyFill="1" applyBorder="1" applyAlignment="1" applyProtection="0">
      <alignment vertical="top" wrapText="1"/>
    </xf>
    <xf numFmtId="0" fontId="0" fillId="4" borderId="23" applyNumberFormat="1" applyFont="1" applyFill="1" applyBorder="1" applyAlignment="1" applyProtection="0">
      <alignment vertical="center" wrapText="1"/>
    </xf>
    <xf numFmtId="0" fontId="0" fillId="4" borderId="23" applyNumberFormat="0" applyFont="1" applyFill="1" applyBorder="1" applyAlignment="1" applyProtection="0">
      <alignment vertical="center"/>
    </xf>
    <xf numFmtId="0" fontId="0" fillId="4" borderId="24" applyNumberFormat="0" applyFont="1" applyFill="1" applyBorder="1" applyAlignment="1" applyProtection="0">
      <alignment vertical="center"/>
    </xf>
    <xf numFmtId="0" fontId="0" applyNumberFormat="1" applyFont="1" applyFill="0" applyBorder="0" applyAlignment="1" applyProtection="0">
      <alignment vertical="bottom"/>
    </xf>
    <xf numFmtId="0" fontId="0" fillId="4" borderId="10" applyNumberFormat="0" applyFont="1" applyFill="1" applyBorder="1" applyAlignment="1" applyProtection="0">
      <alignment vertical="top" wrapText="1"/>
    </xf>
    <xf numFmtId="0" fontId="0" fillId="4" borderId="11" applyNumberFormat="0" applyFont="1" applyFill="1" applyBorder="1" applyAlignment="1" applyProtection="0">
      <alignment vertical="top" wrapText="1"/>
    </xf>
    <xf numFmtId="0" fontId="0" fillId="4" borderId="12" applyNumberFormat="0" applyFont="1" applyFill="1" applyBorder="1" applyAlignment="1" applyProtection="0">
      <alignment vertical="top" wrapText="1"/>
    </xf>
    <xf numFmtId="49" fontId="0" fillId="4" borderId="22" applyNumberFormat="1" applyFont="1" applyFill="1" applyBorder="1" applyAlignment="1" applyProtection="0">
      <alignment vertical="top" wrapText="1"/>
    </xf>
    <xf numFmtId="62" fontId="8" fillId="6" borderId="24" applyNumberFormat="1" applyFont="1" applyFill="1" applyBorder="1" applyAlignment="1" applyProtection="0">
      <alignment horizontal="center" vertical="center" wrapText="1"/>
    </xf>
    <xf numFmtId="0" fontId="0" fillId="4" borderId="17" applyNumberFormat="0" applyFont="1" applyFill="1" applyBorder="1" applyAlignment="1" applyProtection="0">
      <alignment vertical="top" wrapText="1"/>
    </xf>
    <xf numFmtId="49" fontId="9" fillId="6" borderId="13" applyNumberFormat="1" applyFont="1" applyFill="1" applyBorder="1" applyAlignment="1" applyProtection="0">
      <alignment vertical="top" wrapText="1"/>
    </xf>
    <xf numFmtId="0" fontId="10" fillId="4" borderId="15" applyNumberFormat="1" applyFont="1" applyFill="1" applyBorder="1" applyAlignment="1" applyProtection="0">
      <alignment horizontal="center" vertical="top" wrapText="1"/>
    </xf>
    <xf numFmtId="49" fontId="9" fillId="6" borderId="26" applyNumberFormat="1" applyFont="1" applyFill="1" applyBorder="1" applyAlignment="1" applyProtection="0">
      <alignment vertical="top" wrapText="1"/>
    </xf>
    <xf numFmtId="49" fontId="10" fillId="4" borderId="28" applyNumberFormat="1" applyFont="1" applyFill="1" applyBorder="1" applyAlignment="1" applyProtection="0">
      <alignment horizontal="center" vertical="top" wrapText="1"/>
    </xf>
    <xf numFmtId="62" fontId="10" fillId="4" borderId="28" applyNumberFormat="1" applyFont="1" applyFill="1" applyBorder="1" applyAlignment="1" applyProtection="0">
      <alignment horizontal="center" vertical="top" wrapText="1"/>
    </xf>
    <xf numFmtId="49" fontId="9" fillId="6" borderId="18" applyNumberFormat="1" applyFont="1" applyFill="1" applyBorder="1" applyAlignment="1" applyProtection="0">
      <alignment vertical="top" wrapText="1"/>
    </xf>
    <xf numFmtId="62" fontId="10" fillId="4" borderId="20" applyNumberFormat="1" applyFont="1" applyFill="1" applyBorder="1" applyAlignment="1" applyProtection="0">
      <alignment horizontal="center" vertical="top" wrapText="1"/>
    </xf>
    <xf numFmtId="0" fontId="0" fillId="4" borderId="30" applyNumberFormat="0" applyFont="1" applyFill="1" applyBorder="1" applyAlignment="1" applyProtection="0">
      <alignment vertical="top" wrapText="1"/>
    </xf>
    <xf numFmtId="49" fontId="9" fillId="6" borderId="22" applyNumberFormat="1" applyFont="1" applyFill="1" applyBorder="1" applyAlignment="1" applyProtection="0">
      <alignment vertical="top" wrapText="1"/>
    </xf>
    <xf numFmtId="49" fontId="9" fillId="6" borderId="23" applyNumberFormat="1" applyFont="1" applyFill="1" applyBorder="1" applyAlignment="1" applyProtection="0">
      <alignment vertical="top" wrapText="1"/>
    </xf>
    <xf numFmtId="49" fontId="9" fillId="6" borderId="14" applyNumberFormat="1" applyFont="1" applyFill="1" applyBorder="1" applyAlignment="1" applyProtection="0">
      <alignment vertical="top" wrapText="1"/>
    </xf>
    <xf numFmtId="49" fontId="9" fillId="6" borderId="15" applyNumberFormat="1" applyFont="1" applyFill="1" applyBorder="1" applyAlignment="1" applyProtection="0">
      <alignment vertical="top" wrapText="1"/>
    </xf>
    <xf numFmtId="0" fontId="0" fillId="4" borderId="13" applyNumberFormat="1" applyFont="1" applyFill="1" applyBorder="1" applyAlignment="1" applyProtection="0">
      <alignment vertical="top" wrapText="1"/>
    </xf>
    <xf numFmtId="62" fontId="11" fillId="4" borderId="14" applyNumberFormat="1" applyFont="1" applyFill="1" applyBorder="1" applyAlignment="1" applyProtection="0">
      <alignment horizontal="center" vertical="top" wrapText="1"/>
    </xf>
    <xf numFmtId="49" fontId="0" fillId="4" borderId="27" applyNumberFormat="1" applyFont="1" applyFill="1" applyBorder="1" applyAlignment="1" applyProtection="0">
      <alignment vertical="top" wrapText="1"/>
    </xf>
    <xf numFmtId="0" fontId="0" fillId="4" borderId="27" applyNumberFormat="0" applyFont="1" applyFill="1" applyBorder="1" applyAlignment="1" applyProtection="0">
      <alignment vertical="top" wrapText="1"/>
    </xf>
    <xf numFmtId="15" fontId="0" fillId="4" borderId="27" applyNumberFormat="1" applyFont="1" applyFill="1" applyBorder="1" applyAlignment="1" applyProtection="0">
      <alignment vertical="top" wrapText="1"/>
    </xf>
    <xf numFmtId="0" fontId="0" fillId="4" borderId="28" applyNumberFormat="0" applyFont="1" applyFill="1" applyBorder="1" applyAlignment="1" applyProtection="0">
      <alignment vertical="top" wrapText="1"/>
    </xf>
    <xf numFmtId="0" fontId="0" fillId="4" borderId="26" applyNumberFormat="1" applyFont="1" applyFill="1" applyBorder="1" applyAlignment="1" applyProtection="0">
      <alignment vertical="top" wrapText="1"/>
    </xf>
    <xf numFmtId="62" fontId="11" fillId="4" borderId="27" applyNumberFormat="1" applyFont="1" applyFill="1" applyBorder="1" applyAlignment="1" applyProtection="0">
      <alignment horizontal="center" vertical="top" wrapText="1"/>
    </xf>
    <xf numFmtId="0" fontId="0" fillId="4" borderId="26" applyNumberFormat="0" applyFont="1" applyFill="1" applyBorder="1" applyAlignment="1" applyProtection="0">
      <alignment vertical="top"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d8d8d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4"/>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Project Plan'!R1C1" tooltip="" display="Project Plan"/>
    <hyperlink ref="D12" location="'Week 2'!R1C1" tooltip="" display="Week 2"/>
    <hyperlink ref="D14" location="'Week 1'!R1C1" tooltip="" display="Week 1"/>
    <hyperlink ref="D12" location="'Project Plan'!R1C1" tooltip="" display="Project Plan"/>
    <hyperlink ref="D14" location="'Week 2'!R1C1" tooltip="" display="Week 2"/>
    <hyperlink ref="D16" location="'Week 1'!R1C1" tooltip="" display="Week 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K64"/>
  <sheetViews>
    <sheetView workbookViewId="0" showGridLines="0" defaultGridColor="1"/>
  </sheetViews>
  <sheetFormatPr defaultColWidth="8.83333" defaultRowHeight="15.4" customHeight="1" outlineLevelRow="0" outlineLevelCol="0"/>
  <cols>
    <col min="1" max="1" width="4.17188" style="25" customWidth="1"/>
    <col min="2" max="2" width="7.17188" style="25" customWidth="1"/>
    <col min="3" max="3" width="15.1719" style="25" customWidth="1"/>
    <col min="4" max="4" width="58.6719" style="25" customWidth="1"/>
    <col min="5" max="5" width="9.85156" style="25" customWidth="1"/>
    <col min="6" max="6" width="13.1719" style="25" customWidth="1"/>
    <col min="7" max="7" width="12" style="25" customWidth="1"/>
    <col min="8" max="8" width="13.1719" style="25" customWidth="1"/>
    <col min="9" max="9" width="12" style="25" customWidth="1"/>
    <col min="10" max="10" width="10" style="25" customWidth="1"/>
    <col min="11" max="11" width="8.85156" style="25" customWidth="1"/>
    <col min="12" max="16384" width="8.85156" style="25" customWidth="1"/>
  </cols>
  <sheetData>
    <row r="1" ht="15.75" customHeight="1">
      <c r="A1" s="26"/>
      <c r="B1" s="27"/>
      <c r="C1" s="27"/>
      <c r="D1" s="28"/>
      <c r="E1" s="27"/>
      <c r="F1" s="27"/>
      <c r="G1" s="27"/>
      <c r="H1" s="27"/>
      <c r="I1" s="27"/>
      <c r="J1" s="27"/>
      <c r="K1" s="26"/>
    </row>
    <row r="2" ht="14.05" customHeight="1">
      <c r="A2" s="29"/>
      <c r="B2" t="s" s="30">
        <v>12</v>
      </c>
      <c r="C2" s="31"/>
      <c r="D2" s="32"/>
      <c r="E2" t="s" s="33">
        <v>13</v>
      </c>
      <c r="F2" t="s" s="30">
        <v>14</v>
      </c>
      <c r="G2" s="32"/>
      <c r="H2" t="s" s="30">
        <v>15</v>
      </c>
      <c r="I2" s="32"/>
      <c r="J2" t="s" s="33">
        <v>16</v>
      </c>
      <c r="K2" s="34"/>
    </row>
    <row r="3" ht="15.75" customHeight="1">
      <c r="A3" s="29"/>
      <c r="B3" t="s" s="35">
        <v>17</v>
      </c>
      <c r="C3" t="s" s="36">
        <v>18</v>
      </c>
      <c r="D3" t="s" s="37">
        <v>19</v>
      </c>
      <c r="E3" t="s" s="38">
        <v>20</v>
      </c>
      <c r="F3" t="s" s="35">
        <v>21</v>
      </c>
      <c r="G3" t="s" s="39">
        <v>22</v>
      </c>
      <c r="H3" t="s" s="35">
        <v>21</v>
      </c>
      <c r="I3" t="s" s="39">
        <v>22</v>
      </c>
      <c r="J3" t="s" s="38">
        <v>23</v>
      </c>
      <c r="K3" s="34"/>
    </row>
    <row r="4" ht="15.75" customHeight="1">
      <c r="A4" s="29"/>
      <c r="B4" s="40">
        <v>1</v>
      </c>
      <c r="C4" t="s" s="41">
        <v>24</v>
      </c>
      <c r="D4" t="s" s="42">
        <v>25</v>
      </c>
      <c r="E4" s="43">
        <v>1</v>
      </c>
      <c r="F4" s="44">
        <v>45999</v>
      </c>
      <c r="G4" s="44">
        <f>F4</f>
        <v>45999</v>
      </c>
      <c r="H4" s="44">
        <f>F4</f>
        <v>45999</v>
      </c>
      <c r="I4" s="45">
        <f>G4</f>
        <v>45999</v>
      </c>
      <c r="J4" s="46">
        <v>100</v>
      </c>
      <c r="K4" s="34"/>
    </row>
    <row r="5" ht="14.05" customHeight="1">
      <c r="A5" s="29"/>
      <c r="B5" s="47">
        <f>B4+1</f>
        <v>2</v>
      </c>
      <c r="C5" t="s" s="48">
        <v>26</v>
      </c>
      <c r="D5" t="s" s="49">
        <v>27</v>
      </c>
      <c r="E5" s="50">
        <v>3</v>
      </c>
      <c r="F5" s="51">
        <v>45999</v>
      </c>
      <c r="G5" s="51">
        <f>F5+E5</f>
        <v>46002</v>
      </c>
      <c r="H5" s="51">
        <f>F5</f>
        <v>45999</v>
      </c>
      <c r="I5" s="52">
        <f>G5</f>
        <v>46002</v>
      </c>
      <c r="J5" s="53">
        <v>100</v>
      </c>
      <c r="K5" s="34"/>
    </row>
    <row r="6" ht="13.55" customHeight="1">
      <c r="A6" s="29"/>
      <c r="B6" s="54">
        <f>B5+1</f>
        <v>3</v>
      </c>
      <c r="C6" s="55"/>
      <c r="D6" t="s" s="56">
        <v>28</v>
      </c>
      <c r="E6" s="57">
        <v>4</v>
      </c>
      <c r="F6" s="58">
        <f>G5</f>
        <v>46002</v>
      </c>
      <c r="G6" s="58">
        <f>F6+E6-3</f>
        <v>46003</v>
      </c>
      <c r="H6" s="58">
        <f>F6</f>
        <v>46002</v>
      </c>
      <c r="I6" s="59">
        <f>G6</f>
        <v>46003</v>
      </c>
      <c r="J6" s="60">
        <v>100</v>
      </c>
      <c r="K6" s="34"/>
    </row>
    <row r="7" ht="13.55" customHeight="1">
      <c r="A7" s="29"/>
      <c r="B7" s="54">
        <f>B6+1</f>
        <v>4</v>
      </c>
      <c r="C7" s="55"/>
      <c r="D7" t="s" s="56">
        <v>29</v>
      </c>
      <c r="E7" s="57">
        <v>2</v>
      </c>
      <c r="F7" s="58">
        <f>G6</f>
        <v>46003</v>
      </c>
      <c r="G7" s="58">
        <f>F7+E7+1</f>
        <v>46006</v>
      </c>
      <c r="H7" s="58">
        <f>F7</f>
        <v>46003</v>
      </c>
      <c r="I7" s="59"/>
      <c r="J7" s="60">
        <v>50</v>
      </c>
      <c r="K7" s="34"/>
    </row>
    <row r="8" ht="15.75" customHeight="1">
      <c r="A8" s="29"/>
      <c r="B8" s="61">
        <f>B7+1</f>
        <v>5</v>
      </c>
      <c r="C8" s="62"/>
      <c r="D8" t="s" s="63">
        <v>30</v>
      </c>
      <c r="E8" s="64">
        <v>1</v>
      </c>
      <c r="F8" s="65">
        <f>G7</f>
        <v>46006</v>
      </c>
      <c r="G8" s="65">
        <f>F8+E8-1</f>
        <v>46006</v>
      </c>
      <c r="H8" s="65"/>
      <c r="I8" s="66"/>
      <c r="J8" s="67">
        <v>0</v>
      </c>
      <c r="K8" s="34"/>
    </row>
    <row r="9" ht="14.05" customHeight="1">
      <c r="A9" s="29"/>
      <c r="B9" s="47">
        <f>B8+1</f>
        <v>6</v>
      </c>
      <c r="C9" t="s" s="48">
        <v>31</v>
      </c>
      <c r="D9" t="s" s="68">
        <v>32</v>
      </c>
      <c r="E9" s="50">
        <v>4</v>
      </c>
      <c r="F9" s="51">
        <f>F6</f>
        <v>46002</v>
      </c>
      <c r="G9" s="51">
        <f>F9+E9</f>
        <v>46006</v>
      </c>
      <c r="H9" s="51">
        <f>F9</f>
        <v>46002</v>
      </c>
      <c r="I9" s="69"/>
      <c r="J9" s="53">
        <v>30</v>
      </c>
      <c r="K9" s="34"/>
    </row>
    <row r="10" ht="13.55" customHeight="1">
      <c r="A10" s="29"/>
      <c r="B10" s="54">
        <f>B9+1</f>
        <v>7</v>
      </c>
      <c r="C10" s="55"/>
      <c r="D10" t="s" s="56">
        <v>33</v>
      </c>
      <c r="E10" s="57">
        <v>3</v>
      </c>
      <c r="F10" s="58">
        <f>F9+1</f>
        <v>46003</v>
      </c>
      <c r="G10" s="58">
        <f>F10+E10</f>
        <v>46006</v>
      </c>
      <c r="H10" s="58">
        <f>F10</f>
        <v>46003</v>
      </c>
      <c r="I10" s="59"/>
      <c r="J10" s="60">
        <v>30</v>
      </c>
      <c r="K10" s="34"/>
    </row>
    <row r="11" ht="13.55" customHeight="1">
      <c r="A11" s="29"/>
      <c r="B11" s="54">
        <f>B10+1</f>
        <v>8</v>
      </c>
      <c r="C11" s="55"/>
      <c r="D11" t="s" s="56">
        <v>34</v>
      </c>
      <c r="E11" s="57">
        <v>2</v>
      </c>
      <c r="F11" s="58">
        <f>G10+1</f>
        <v>46007</v>
      </c>
      <c r="G11" s="58">
        <f>F11+E11</f>
        <v>46009</v>
      </c>
      <c r="H11" s="58"/>
      <c r="I11" s="59"/>
      <c r="J11" s="60">
        <v>0</v>
      </c>
      <c r="K11" s="34"/>
    </row>
    <row r="12" ht="15.75" customHeight="1">
      <c r="A12" s="29"/>
      <c r="B12" s="61">
        <f>B11+1</f>
        <v>9</v>
      </c>
      <c r="C12" s="62"/>
      <c r="D12" t="s" s="63">
        <v>35</v>
      </c>
      <c r="E12" s="64">
        <v>1</v>
      </c>
      <c r="F12" s="65">
        <f>G11</f>
        <v>46009</v>
      </c>
      <c r="G12" s="65">
        <f>F12+E12</f>
        <v>46010</v>
      </c>
      <c r="H12" s="65"/>
      <c r="I12" s="66"/>
      <c r="J12" s="67">
        <v>0</v>
      </c>
      <c r="K12" s="34"/>
    </row>
    <row r="13" ht="14.05" customHeight="1">
      <c r="A13" s="29"/>
      <c r="B13" s="47">
        <f>B12+1</f>
        <v>10</v>
      </c>
      <c r="C13" t="s" s="70">
        <v>36</v>
      </c>
      <c r="D13" t="s" s="71">
        <v>37</v>
      </c>
      <c r="E13" s="72">
        <v>1</v>
      </c>
      <c r="F13" s="51">
        <v>46013</v>
      </c>
      <c r="G13" s="51">
        <v>46013</v>
      </c>
      <c r="H13" s="73">
        <v>46013</v>
      </c>
      <c r="I13" s="74">
        <v>46013</v>
      </c>
      <c r="J13" s="53">
        <v>100</v>
      </c>
      <c r="K13" s="34"/>
    </row>
    <row r="14" ht="13.55" customHeight="1">
      <c r="A14" s="29"/>
      <c r="B14" s="54">
        <f>B13+1</f>
        <v>11</v>
      </c>
      <c r="C14" s="75"/>
      <c r="D14" t="s" s="76">
        <v>38</v>
      </c>
      <c r="E14" s="77">
        <v>2</v>
      </c>
      <c r="F14" s="58">
        <v>46014</v>
      </c>
      <c r="G14" s="58">
        <v>46015</v>
      </c>
      <c r="H14" s="78"/>
      <c r="I14" s="79"/>
      <c r="J14" s="60">
        <v>0</v>
      </c>
      <c r="K14" s="34"/>
    </row>
    <row r="15" ht="13.55" customHeight="1">
      <c r="A15" s="29"/>
      <c r="B15" s="54">
        <f>B14+1</f>
        <v>12</v>
      </c>
      <c r="C15" s="75"/>
      <c r="D15" t="s" s="76">
        <v>39</v>
      </c>
      <c r="E15" s="77">
        <v>1</v>
      </c>
      <c r="F15" s="58">
        <v>46017</v>
      </c>
      <c r="G15" s="58">
        <v>46017</v>
      </c>
      <c r="H15" s="78"/>
      <c r="I15" s="79"/>
      <c r="J15" s="60">
        <v>0</v>
      </c>
      <c r="K15" s="34"/>
    </row>
    <row r="16" ht="19.5" customHeight="1">
      <c r="A16" s="29"/>
      <c r="B16" s="54">
        <f>B15+1</f>
        <v>13</v>
      </c>
      <c r="C16" s="75"/>
      <c r="D16" t="s" s="76">
        <v>40</v>
      </c>
      <c r="E16" s="77">
        <v>3</v>
      </c>
      <c r="F16" s="80">
        <v>46018</v>
      </c>
      <c r="G16" s="58">
        <v>46021</v>
      </c>
      <c r="H16" s="78"/>
      <c r="I16" s="79"/>
      <c r="J16" s="60">
        <v>0</v>
      </c>
      <c r="K16" s="34"/>
    </row>
    <row r="17" ht="13.55" customHeight="1">
      <c r="A17" s="29"/>
      <c r="B17" s="54">
        <f>B16+1</f>
        <v>14</v>
      </c>
      <c r="C17" s="75"/>
      <c r="D17" t="s" s="76">
        <v>41</v>
      </c>
      <c r="E17" s="77">
        <v>1</v>
      </c>
      <c r="F17" s="58">
        <v>46022</v>
      </c>
      <c r="G17" s="58">
        <v>46022</v>
      </c>
      <c r="H17" s="78"/>
      <c r="I17" s="79"/>
      <c r="J17" s="60">
        <v>0</v>
      </c>
      <c r="K17" s="34"/>
    </row>
    <row r="18" ht="13.55" customHeight="1">
      <c r="A18" s="29"/>
      <c r="B18" s="54">
        <f>B17+1</f>
        <v>15</v>
      </c>
      <c r="C18" s="75"/>
      <c r="D18" t="s" s="76">
        <v>42</v>
      </c>
      <c r="E18" s="77">
        <v>1</v>
      </c>
      <c r="F18" s="58">
        <v>46024</v>
      </c>
      <c r="G18" s="58">
        <v>46024</v>
      </c>
      <c r="H18" s="78"/>
      <c r="I18" s="79"/>
      <c r="J18" s="60">
        <v>0</v>
      </c>
      <c r="K18" s="34"/>
    </row>
    <row r="19" ht="13.55" customHeight="1">
      <c r="A19" s="29"/>
      <c r="B19" s="54">
        <f>B18+1</f>
        <v>16</v>
      </c>
      <c r="C19" s="75"/>
      <c r="D19" t="s" s="76">
        <v>43</v>
      </c>
      <c r="E19" s="77">
        <v>2</v>
      </c>
      <c r="F19" s="58">
        <v>46025</v>
      </c>
      <c r="G19" s="58">
        <v>46027</v>
      </c>
      <c r="H19" s="81"/>
      <c r="I19" s="82"/>
      <c r="J19" s="60">
        <v>0</v>
      </c>
      <c r="K19" s="34"/>
    </row>
    <row r="20" ht="13.55" customHeight="1">
      <c r="A20" s="29"/>
      <c r="B20" s="54">
        <f>B19+1</f>
        <v>17</v>
      </c>
      <c r="C20" s="75"/>
      <c r="D20" t="s" s="76">
        <v>44</v>
      </c>
      <c r="E20" s="77">
        <v>2</v>
      </c>
      <c r="F20" s="58">
        <v>46028</v>
      </c>
      <c r="G20" s="58">
        <v>46029</v>
      </c>
      <c r="H20" s="78"/>
      <c r="I20" s="79"/>
      <c r="J20" s="60">
        <v>0</v>
      </c>
      <c r="K20" s="34"/>
    </row>
    <row r="21" ht="13.55" customHeight="1">
      <c r="A21" s="29"/>
      <c r="B21" s="54">
        <f>B20+1</f>
        <v>18</v>
      </c>
      <c r="C21" s="75"/>
      <c r="D21" t="s" s="76">
        <v>45</v>
      </c>
      <c r="E21" s="77">
        <v>2</v>
      </c>
      <c r="F21" s="58">
        <v>46030</v>
      </c>
      <c r="G21" s="58">
        <v>46031</v>
      </c>
      <c r="H21" s="78"/>
      <c r="I21" s="79"/>
      <c r="J21" s="60">
        <v>0</v>
      </c>
      <c r="K21" s="34"/>
    </row>
    <row r="22" ht="13.55" customHeight="1">
      <c r="A22" s="29"/>
      <c r="B22" s="54">
        <f>B21+1</f>
        <v>19</v>
      </c>
      <c r="C22" s="75"/>
      <c r="D22" t="s" s="76">
        <v>46</v>
      </c>
      <c r="E22" s="77">
        <v>2</v>
      </c>
      <c r="F22" s="58">
        <v>46032</v>
      </c>
      <c r="G22" s="58">
        <v>46034</v>
      </c>
      <c r="H22" s="78"/>
      <c r="I22" s="79"/>
      <c r="J22" s="60">
        <v>0</v>
      </c>
      <c r="K22" s="34"/>
    </row>
    <row r="23" ht="13.55" customHeight="1">
      <c r="A23" s="29"/>
      <c r="B23" s="54">
        <f>B22+1</f>
        <v>20</v>
      </c>
      <c r="C23" s="75"/>
      <c r="D23" t="s" s="76">
        <v>47</v>
      </c>
      <c r="E23" s="77">
        <v>1</v>
      </c>
      <c r="F23" s="58">
        <v>46035</v>
      </c>
      <c r="G23" s="58">
        <v>46035</v>
      </c>
      <c r="H23" s="78"/>
      <c r="I23" s="79"/>
      <c r="J23" s="60">
        <v>0</v>
      </c>
      <c r="K23" s="34"/>
    </row>
    <row r="24" ht="13.55" customHeight="1">
      <c r="A24" s="29"/>
      <c r="B24" s="54">
        <f>B23+1</f>
        <v>21</v>
      </c>
      <c r="C24" s="75"/>
      <c r="D24" t="s" s="76">
        <v>48</v>
      </c>
      <c r="E24" s="77">
        <v>2</v>
      </c>
      <c r="F24" s="58">
        <v>46037</v>
      </c>
      <c r="G24" s="58">
        <v>46038</v>
      </c>
      <c r="H24" s="78"/>
      <c r="I24" s="79"/>
      <c r="J24" s="60">
        <v>0</v>
      </c>
      <c r="K24" s="34"/>
    </row>
    <row r="25" ht="13.55" customHeight="1">
      <c r="A25" s="29"/>
      <c r="B25" s="54">
        <f>B24+1</f>
        <v>22</v>
      </c>
      <c r="C25" s="75"/>
      <c r="D25" t="s" s="76">
        <v>49</v>
      </c>
      <c r="E25" s="77">
        <v>2</v>
      </c>
      <c r="F25" s="58">
        <v>46039</v>
      </c>
      <c r="G25" s="80">
        <v>46041</v>
      </c>
      <c r="H25" s="78"/>
      <c r="I25" s="79"/>
      <c r="J25" s="60">
        <v>0</v>
      </c>
      <c r="K25" s="34"/>
    </row>
    <row r="26" ht="13.55" customHeight="1">
      <c r="A26" s="29"/>
      <c r="B26" s="54">
        <f>B25+1</f>
        <v>23</v>
      </c>
      <c r="C26" s="75"/>
      <c r="D26" t="s" s="76">
        <v>50</v>
      </c>
      <c r="E26" s="77">
        <v>2</v>
      </c>
      <c r="F26" s="58">
        <v>46042</v>
      </c>
      <c r="G26" s="58">
        <v>46043</v>
      </c>
      <c r="H26" s="78"/>
      <c r="I26" s="79"/>
      <c r="J26" s="60">
        <v>0</v>
      </c>
      <c r="K26" s="34"/>
    </row>
    <row r="27" ht="13.55" customHeight="1">
      <c r="A27" s="29"/>
      <c r="B27" s="54">
        <f>B26+1</f>
        <v>24</v>
      </c>
      <c r="C27" s="75"/>
      <c r="D27" t="s" s="76">
        <v>51</v>
      </c>
      <c r="E27" s="77">
        <v>2</v>
      </c>
      <c r="F27" s="58">
        <v>46044</v>
      </c>
      <c r="G27" s="58">
        <v>46045</v>
      </c>
      <c r="H27" s="78"/>
      <c r="I27" s="79"/>
      <c r="J27" s="60">
        <v>0</v>
      </c>
      <c r="K27" s="34"/>
    </row>
    <row r="28" ht="13.55" customHeight="1">
      <c r="A28" s="29"/>
      <c r="B28" s="54">
        <f>B27+1</f>
        <v>25</v>
      </c>
      <c r="C28" s="75"/>
      <c r="D28" t="s" s="76">
        <v>52</v>
      </c>
      <c r="E28" s="77">
        <v>1</v>
      </c>
      <c r="F28" s="58">
        <v>46046</v>
      </c>
      <c r="G28" s="58">
        <v>46046</v>
      </c>
      <c r="H28" s="78"/>
      <c r="I28" s="79"/>
      <c r="J28" s="60">
        <v>0</v>
      </c>
      <c r="K28" s="34"/>
    </row>
    <row r="29" ht="13.55" customHeight="1">
      <c r="A29" s="29"/>
      <c r="B29" s="54">
        <f>B28+1</f>
        <v>26</v>
      </c>
      <c r="C29" s="75"/>
      <c r="D29" t="s" s="76">
        <v>53</v>
      </c>
      <c r="E29" s="77">
        <v>1</v>
      </c>
      <c r="F29" s="58">
        <v>46049</v>
      </c>
      <c r="G29" s="58">
        <v>46049</v>
      </c>
      <c r="H29" s="78"/>
      <c r="I29" s="79"/>
      <c r="J29" s="60">
        <v>0</v>
      </c>
      <c r="K29" s="34"/>
    </row>
    <row r="30" ht="13.55" customHeight="1">
      <c r="A30" s="29"/>
      <c r="B30" s="54">
        <f>B29+1</f>
        <v>27</v>
      </c>
      <c r="C30" s="75"/>
      <c r="D30" t="s" s="76">
        <v>54</v>
      </c>
      <c r="E30" s="77">
        <v>1</v>
      </c>
      <c r="F30" s="58">
        <v>46050</v>
      </c>
      <c r="G30" s="58">
        <v>46050</v>
      </c>
      <c r="H30" s="78"/>
      <c r="I30" s="79"/>
      <c r="J30" s="60">
        <v>0</v>
      </c>
      <c r="K30" s="34"/>
    </row>
    <row r="31" ht="13.55" customHeight="1">
      <c r="A31" s="29"/>
      <c r="B31" s="54">
        <f>B30+1</f>
        <v>28</v>
      </c>
      <c r="C31" s="75"/>
      <c r="D31" t="s" s="76">
        <v>55</v>
      </c>
      <c r="E31" s="77">
        <v>1</v>
      </c>
      <c r="F31" s="58">
        <v>46051</v>
      </c>
      <c r="G31" s="58">
        <v>46051</v>
      </c>
      <c r="H31" s="78"/>
      <c r="I31" s="79"/>
      <c r="J31" s="60">
        <v>0</v>
      </c>
      <c r="K31" s="34"/>
    </row>
    <row r="32" ht="13.55" customHeight="1">
      <c r="A32" s="29"/>
      <c r="B32" s="54">
        <f>B31+1</f>
        <v>29</v>
      </c>
      <c r="C32" s="75"/>
      <c r="D32" t="s" s="76">
        <v>56</v>
      </c>
      <c r="E32" s="77">
        <v>1</v>
      </c>
      <c r="F32" s="58">
        <v>46052</v>
      </c>
      <c r="G32" s="58">
        <v>46052</v>
      </c>
      <c r="H32" s="78"/>
      <c r="I32" s="79"/>
      <c r="J32" s="60">
        <v>0</v>
      </c>
      <c r="K32" s="34"/>
    </row>
    <row r="33" ht="13.55" customHeight="1">
      <c r="A33" s="29"/>
      <c r="B33" s="54">
        <f>B32+1</f>
        <v>30</v>
      </c>
      <c r="C33" s="75"/>
      <c r="D33" t="s" s="76">
        <v>57</v>
      </c>
      <c r="E33" s="77">
        <v>2</v>
      </c>
      <c r="F33" s="58">
        <v>46053</v>
      </c>
      <c r="G33" s="58">
        <v>46055</v>
      </c>
      <c r="H33" s="78"/>
      <c r="I33" s="79"/>
      <c r="J33" s="60">
        <v>0</v>
      </c>
      <c r="K33" s="34"/>
    </row>
    <row r="34" ht="13.55" customHeight="1">
      <c r="A34" s="29"/>
      <c r="B34" s="54">
        <f>B33+1</f>
        <v>31</v>
      </c>
      <c r="C34" s="75"/>
      <c r="D34" t="s" s="76">
        <v>58</v>
      </c>
      <c r="E34" s="77">
        <v>2</v>
      </c>
      <c r="F34" s="58">
        <v>46055</v>
      </c>
      <c r="G34" s="58">
        <v>46056</v>
      </c>
      <c r="H34" s="78"/>
      <c r="I34" s="79"/>
      <c r="J34" s="60">
        <v>0</v>
      </c>
      <c r="K34" s="34"/>
    </row>
    <row r="35" ht="13.55" customHeight="1">
      <c r="A35" s="29"/>
      <c r="B35" s="54">
        <f>B34+1</f>
        <v>32</v>
      </c>
      <c r="C35" s="75"/>
      <c r="D35" t="s" s="76">
        <v>59</v>
      </c>
      <c r="E35" s="77">
        <v>3</v>
      </c>
      <c r="F35" s="58">
        <v>46057</v>
      </c>
      <c r="G35" s="58">
        <v>46059</v>
      </c>
      <c r="H35" s="78"/>
      <c r="I35" s="79"/>
      <c r="J35" s="60">
        <v>0</v>
      </c>
      <c r="K35" s="34"/>
    </row>
    <row r="36" ht="13.55" customHeight="1">
      <c r="A36" s="29"/>
      <c r="B36" s="54">
        <f>B35+1</f>
        <v>33</v>
      </c>
      <c r="C36" s="75"/>
      <c r="D36" t="s" s="76">
        <v>60</v>
      </c>
      <c r="E36" s="77">
        <v>2</v>
      </c>
      <c r="F36" s="58">
        <v>46060</v>
      </c>
      <c r="G36" s="58">
        <v>46062</v>
      </c>
      <c r="H36" s="78"/>
      <c r="I36" s="79"/>
      <c r="J36" s="60">
        <v>0</v>
      </c>
      <c r="K36" s="34"/>
    </row>
    <row r="37" ht="13.55" customHeight="1">
      <c r="A37" s="29"/>
      <c r="B37" s="54">
        <f>B36+1</f>
        <v>34</v>
      </c>
      <c r="C37" s="75"/>
      <c r="D37" t="s" s="76">
        <v>61</v>
      </c>
      <c r="E37" s="77">
        <v>2</v>
      </c>
      <c r="F37" s="58">
        <v>46063</v>
      </c>
      <c r="G37" s="58">
        <v>46064</v>
      </c>
      <c r="H37" s="78"/>
      <c r="I37" s="79"/>
      <c r="J37" s="60">
        <v>0</v>
      </c>
      <c r="K37" s="34"/>
    </row>
    <row r="38" ht="13.55" customHeight="1">
      <c r="A38" s="29"/>
      <c r="B38" s="54">
        <f>B37+1</f>
        <v>35</v>
      </c>
      <c r="C38" s="75"/>
      <c r="D38" t="s" s="76">
        <v>62</v>
      </c>
      <c r="E38" s="77">
        <v>1</v>
      </c>
      <c r="F38" s="58">
        <v>46065</v>
      </c>
      <c r="G38" s="58">
        <v>46065</v>
      </c>
      <c r="H38" s="78"/>
      <c r="I38" s="79"/>
      <c r="J38" s="60">
        <v>0</v>
      </c>
      <c r="K38" s="34"/>
    </row>
    <row r="39" ht="13.55" customHeight="1">
      <c r="A39" s="29"/>
      <c r="B39" s="54">
        <f>B38+1</f>
        <v>36</v>
      </c>
      <c r="C39" s="75"/>
      <c r="D39" t="s" s="76">
        <v>63</v>
      </c>
      <c r="E39" s="77">
        <v>2</v>
      </c>
      <c r="F39" s="58">
        <v>46066</v>
      </c>
      <c r="G39" s="58">
        <v>46067</v>
      </c>
      <c r="H39" s="78"/>
      <c r="I39" s="79"/>
      <c r="J39" s="60">
        <v>0</v>
      </c>
      <c r="K39" s="34"/>
    </row>
    <row r="40" ht="13.55" customHeight="1">
      <c r="A40" s="29"/>
      <c r="B40" s="54">
        <f>B39+1</f>
        <v>37</v>
      </c>
      <c r="C40" s="75"/>
      <c r="D40" t="s" s="76">
        <v>64</v>
      </c>
      <c r="E40" s="77">
        <v>2</v>
      </c>
      <c r="F40" s="58">
        <v>46069</v>
      </c>
      <c r="G40" s="58">
        <v>46070</v>
      </c>
      <c r="H40" s="78"/>
      <c r="I40" s="79"/>
      <c r="J40" s="60">
        <v>0</v>
      </c>
      <c r="K40" s="34"/>
    </row>
    <row r="41" ht="13.55" customHeight="1">
      <c r="A41" s="29"/>
      <c r="B41" s="54">
        <f>B40+1</f>
        <v>38</v>
      </c>
      <c r="C41" s="75"/>
      <c r="D41" t="s" s="76">
        <v>65</v>
      </c>
      <c r="E41" s="77">
        <v>2</v>
      </c>
      <c r="F41" s="58">
        <v>46071</v>
      </c>
      <c r="G41" s="58">
        <v>46072</v>
      </c>
      <c r="H41" s="78"/>
      <c r="I41" s="79"/>
      <c r="J41" s="60">
        <v>0</v>
      </c>
      <c r="K41" s="34"/>
    </row>
    <row r="42" ht="13.55" customHeight="1">
      <c r="A42" s="29"/>
      <c r="B42" s="54">
        <f>B41+1</f>
        <v>39</v>
      </c>
      <c r="C42" s="75"/>
      <c r="D42" t="s" s="76">
        <v>66</v>
      </c>
      <c r="E42" s="77">
        <v>2</v>
      </c>
      <c r="F42" s="58">
        <v>46073</v>
      </c>
      <c r="G42" s="58">
        <v>46074</v>
      </c>
      <c r="H42" s="78"/>
      <c r="I42" s="79"/>
      <c r="J42" s="60">
        <v>0</v>
      </c>
      <c r="K42" s="34"/>
    </row>
    <row r="43" ht="13.55" customHeight="1">
      <c r="A43" s="29"/>
      <c r="B43" s="54">
        <f>B42+1</f>
        <v>40</v>
      </c>
      <c r="C43" s="75"/>
      <c r="D43" t="s" s="76">
        <v>67</v>
      </c>
      <c r="E43" s="77">
        <v>2</v>
      </c>
      <c r="F43" s="83">
        <v>46076</v>
      </c>
      <c r="G43" s="58">
        <v>46077</v>
      </c>
      <c r="H43" s="78"/>
      <c r="I43" s="79"/>
      <c r="J43" s="60">
        <v>0</v>
      </c>
      <c r="K43" s="34"/>
    </row>
    <row r="44" ht="13.55" customHeight="1">
      <c r="A44" s="29"/>
      <c r="B44" s="54">
        <f>B43+1</f>
        <v>41</v>
      </c>
      <c r="C44" s="75"/>
      <c r="D44" t="s" s="76">
        <v>68</v>
      </c>
      <c r="E44" s="77">
        <v>1</v>
      </c>
      <c r="F44" s="58">
        <v>46078</v>
      </c>
      <c r="G44" s="58">
        <v>46078</v>
      </c>
      <c r="H44" s="78"/>
      <c r="I44" s="79"/>
      <c r="J44" s="60">
        <v>0</v>
      </c>
      <c r="K44" s="34"/>
    </row>
    <row r="45" ht="13.55" customHeight="1">
      <c r="A45" s="29"/>
      <c r="B45" s="54">
        <f>B44+1</f>
        <v>42</v>
      </c>
      <c r="C45" s="75"/>
      <c r="D45" t="s" s="76">
        <v>69</v>
      </c>
      <c r="E45" s="77">
        <v>2</v>
      </c>
      <c r="F45" s="58">
        <v>46079</v>
      </c>
      <c r="G45" s="58">
        <v>46080</v>
      </c>
      <c r="H45" s="78"/>
      <c r="I45" s="79"/>
      <c r="J45" s="60">
        <v>0</v>
      </c>
      <c r="K45" s="34"/>
    </row>
    <row r="46" ht="13.55" customHeight="1">
      <c r="A46" s="29"/>
      <c r="B46" s="54">
        <f>B45+1</f>
        <v>43</v>
      </c>
      <c r="C46" s="75"/>
      <c r="D46" t="s" s="76">
        <v>70</v>
      </c>
      <c r="E46" s="77">
        <v>2</v>
      </c>
      <c r="F46" s="58">
        <v>46081</v>
      </c>
      <c r="G46" s="58">
        <v>46083</v>
      </c>
      <c r="H46" s="78"/>
      <c r="I46" s="79"/>
      <c r="J46" s="60">
        <v>0</v>
      </c>
      <c r="K46" s="34"/>
    </row>
    <row r="47" ht="18.75" customHeight="1">
      <c r="A47" s="29"/>
      <c r="B47" s="54">
        <f>B46+1</f>
        <v>44</v>
      </c>
      <c r="C47" s="75"/>
      <c r="D47" t="s" s="76">
        <v>71</v>
      </c>
      <c r="E47" s="77">
        <v>2</v>
      </c>
      <c r="F47" s="58">
        <v>46086</v>
      </c>
      <c r="G47" s="58">
        <v>46087</v>
      </c>
      <c r="H47" s="78"/>
      <c r="I47" s="79"/>
      <c r="J47" s="60">
        <v>0</v>
      </c>
      <c r="K47" s="34"/>
    </row>
    <row r="48" ht="18.75" customHeight="1">
      <c r="A48" s="29"/>
      <c r="B48" s="54">
        <f>B47+1</f>
        <v>45</v>
      </c>
      <c r="C48" s="75"/>
      <c r="D48" t="s" s="76">
        <v>72</v>
      </c>
      <c r="E48" s="77">
        <v>1</v>
      </c>
      <c r="F48" s="58">
        <v>46088</v>
      </c>
      <c r="G48" s="58">
        <v>46088</v>
      </c>
      <c r="H48" s="78"/>
      <c r="I48" s="79"/>
      <c r="J48" s="84"/>
      <c r="K48" s="34"/>
    </row>
    <row r="49" ht="15.75" customHeight="1">
      <c r="A49" s="29"/>
      <c r="B49" s="61">
        <f>B48+1</f>
        <v>46</v>
      </c>
      <c r="C49" s="85"/>
      <c r="D49" t="s" s="86">
        <v>73</v>
      </c>
      <c r="E49" s="87">
        <v>5</v>
      </c>
      <c r="F49" s="65">
        <v>46090</v>
      </c>
      <c r="G49" s="65">
        <v>46094</v>
      </c>
      <c r="H49" s="88"/>
      <c r="I49" s="89"/>
      <c r="J49" s="60">
        <v>0</v>
      </c>
      <c r="K49" s="34"/>
    </row>
    <row r="50" ht="14.05" customHeight="1">
      <c r="A50" s="29"/>
      <c r="B50" s="47">
        <f>B49+1</f>
        <v>47</v>
      </c>
      <c r="C50" t="s" s="48">
        <v>74</v>
      </c>
      <c r="D50" t="s" s="49">
        <v>75</v>
      </c>
      <c r="E50" s="50">
        <v>3</v>
      </c>
      <c r="F50" s="51">
        <v>46095</v>
      </c>
      <c r="G50" s="51">
        <v>46098</v>
      </c>
      <c r="H50" s="90"/>
      <c r="I50" s="69"/>
      <c r="J50" s="60">
        <v>0</v>
      </c>
      <c r="K50" s="34"/>
    </row>
    <row r="51" ht="13.55" customHeight="1">
      <c r="A51" s="29"/>
      <c r="B51" s="54">
        <f>B50+1</f>
        <v>48</v>
      </c>
      <c r="C51" s="55"/>
      <c r="D51" t="s" s="56">
        <v>76</v>
      </c>
      <c r="E51" s="57">
        <v>4</v>
      </c>
      <c r="F51" s="58">
        <v>46099</v>
      </c>
      <c r="G51" s="58">
        <v>46102</v>
      </c>
      <c r="H51" s="78"/>
      <c r="I51" s="79"/>
      <c r="J51" s="60">
        <v>0</v>
      </c>
      <c r="K51" s="34"/>
    </row>
    <row r="52" ht="15.75" customHeight="1">
      <c r="A52" s="29"/>
      <c r="B52" s="61">
        <f>B51+1</f>
        <v>49</v>
      </c>
      <c r="C52" s="62"/>
      <c r="D52" t="s" s="63">
        <v>77</v>
      </c>
      <c r="E52" s="64">
        <v>3</v>
      </c>
      <c r="F52" s="65">
        <v>46104</v>
      </c>
      <c r="G52" s="65">
        <v>46137</v>
      </c>
      <c r="H52" s="91"/>
      <c r="I52" s="92"/>
      <c r="J52" s="60">
        <v>0</v>
      </c>
      <c r="K52" s="34"/>
    </row>
    <row r="53" ht="14.05" customHeight="1">
      <c r="A53" s="29"/>
      <c r="B53" s="47">
        <f>B52+1</f>
        <v>50</v>
      </c>
      <c r="C53" t="s" s="48">
        <v>78</v>
      </c>
      <c r="D53" t="s" s="49">
        <v>79</v>
      </c>
      <c r="E53" s="50">
        <v>6</v>
      </c>
      <c r="F53" s="51">
        <v>46107</v>
      </c>
      <c r="G53" s="51">
        <v>46113</v>
      </c>
      <c r="H53" s="90"/>
      <c r="I53" s="69"/>
      <c r="J53" s="60">
        <v>0</v>
      </c>
      <c r="K53" s="34"/>
    </row>
    <row r="54" ht="13.55" customHeight="1">
      <c r="A54" s="29"/>
      <c r="B54" s="54">
        <f>B53+1</f>
        <v>51</v>
      </c>
      <c r="C54" s="55"/>
      <c r="D54" t="s" s="56">
        <v>78</v>
      </c>
      <c r="E54" s="57">
        <v>5</v>
      </c>
      <c r="F54" s="58">
        <v>46114</v>
      </c>
      <c r="G54" s="58">
        <v>46119</v>
      </c>
      <c r="H54" s="78"/>
      <c r="I54" s="79"/>
      <c r="J54" s="60">
        <v>0</v>
      </c>
      <c r="K54" s="34"/>
    </row>
    <row r="55" ht="15.75" customHeight="1">
      <c r="A55" s="29"/>
      <c r="B55" s="61">
        <f>B54+1</f>
        <v>52</v>
      </c>
      <c r="C55" s="62"/>
      <c r="D55" t="s" s="63">
        <v>80</v>
      </c>
      <c r="E55" s="64">
        <v>5</v>
      </c>
      <c r="F55" s="65">
        <v>46120</v>
      </c>
      <c r="G55" s="65">
        <v>46125</v>
      </c>
      <c r="H55" s="91"/>
      <c r="I55" s="92"/>
      <c r="J55" s="60">
        <v>0</v>
      </c>
      <c r="K55" s="34"/>
    </row>
    <row r="56" ht="14.05" customHeight="1">
      <c r="A56" s="29"/>
      <c r="B56" s="47">
        <f>B55+1</f>
        <v>53</v>
      </c>
      <c r="C56" t="s" s="48">
        <v>81</v>
      </c>
      <c r="D56" t="s" s="49">
        <v>82</v>
      </c>
      <c r="E56" s="50">
        <v>4</v>
      </c>
      <c r="F56" s="51">
        <v>46126</v>
      </c>
      <c r="G56" s="51">
        <v>46129</v>
      </c>
      <c r="H56" s="90"/>
      <c r="I56" s="69"/>
      <c r="J56" s="60">
        <v>0</v>
      </c>
      <c r="K56" s="34"/>
    </row>
    <row r="57" ht="15.75" customHeight="1">
      <c r="A57" s="29"/>
      <c r="B57" s="61">
        <f>B56+1</f>
        <v>54</v>
      </c>
      <c r="C57" s="62"/>
      <c r="D57" t="s" s="63">
        <v>83</v>
      </c>
      <c r="E57" s="64">
        <v>5</v>
      </c>
      <c r="F57" s="65">
        <v>46130</v>
      </c>
      <c r="G57" s="65">
        <v>46135</v>
      </c>
      <c r="H57" s="91"/>
      <c r="I57" s="92"/>
      <c r="J57" s="60">
        <v>0</v>
      </c>
      <c r="K57" s="34"/>
    </row>
    <row r="58" ht="14.05" customHeight="1">
      <c r="A58" s="29"/>
      <c r="B58" s="47">
        <f>B57+1</f>
        <v>55</v>
      </c>
      <c r="C58" t="s" s="48">
        <v>84</v>
      </c>
      <c r="D58" t="s" s="49">
        <v>85</v>
      </c>
      <c r="E58" s="50">
        <v>6</v>
      </c>
      <c r="F58" s="51">
        <v>46136</v>
      </c>
      <c r="G58" s="51">
        <v>46143</v>
      </c>
      <c r="H58" s="90"/>
      <c r="I58" s="69"/>
      <c r="J58" s="60">
        <v>0</v>
      </c>
      <c r="K58" s="34"/>
    </row>
    <row r="59" ht="13.55" customHeight="1">
      <c r="A59" s="29"/>
      <c r="B59" s="54">
        <f>B58+1</f>
        <v>56</v>
      </c>
      <c r="C59" s="55"/>
      <c r="D59" t="s" s="56">
        <v>76</v>
      </c>
      <c r="E59" s="57">
        <v>4</v>
      </c>
      <c r="F59" s="58">
        <v>46144</v>
      </c>
      <c r="G59" s="58">
        <v>46118</v>
      </c>
      <c r="H59" s="78"/>
      <c r="I59" s="79"/>
      <c r="J59" s="60">
        <v>0</v>
      </c>
      <c r="K59" s="34"/>
    </row>
    <row r="60" ht="15.75" customHeight="1">
      <c r="A60" s="29"/>
      <c r="B60" s="61">
        <f>B59+1</f>
        <v>57</v>
      </c>
      <c r="C60" s="62"/>
      <c r="D60" t="s" s="63">
        <v>86</v>
      </c>
      <c r="E60" s="64">
        <v>4</v>
      </c>
      <c r="F60" s="65">
        <v>46149</v>
      </c>
      <c r="G60" s="65">
        <v>46153</v>
      </c>
      <c r="H60" s="91"/>
      <c r="I60" s="92"/>
      <c r="J60" s="60">
        <v>0</v>
      </c>
      <c r="K60" s="34"/>
    </row>
    <row r="61" ht="14.05" customHeight="1">
      <c r="A61" s="29"/>
      <c r="B61" s="47">
        <f>B60+1</f>
        <v>58</v>
      </c>
      <c r="C61" t="s" s="48">
        <v>87</v>
      </c>
      <c r="D61" t="s" s="49">
        <v>88</v>
      </c>
      <c r="E61" s="50">
        <v>8</v>
      </c>
      <c r="F61" s="51">
        <v>46154</v>
      </c>
      <c r="G61" s="51">
        <v>46163</v>
      </c>
      <c r="H61" s="90"/>
      <c r="I61" s="69"/>
      <c r="J61" s="60">
        <v>0</v>
      </c>
      <c r="K61" s="34"/>
    </row>
    <row r="62" ht="13.55" customHeight="1">
      <c r="A62" s="29"/>
      <c r="B62" s="54">
        <f>B61+1</f>
        <v>59</v>
      </c>
      <c r="C62" s="55"/>
      <c r="D62" t="s" s="56">
        <v>89</v>
      </c>
      <c r="E62" s="57">
        <v>15</v>
      </c>
      <c r="F62" s="58">
        <v>46164</v>
      </c>
      <c r="G62" s="58">
        <v>46179</v>
      </c>
      <c r="H62" s="78"/>
      <c r="I62" s="79"/>
      <c r="J62" s="60">
        <v>0</v>
      </c>
      <c r="K62" s="34"/>
    </row>
    <row r="63" ht="15.75" customHeight="1">
      <c r="A63" s="29"/>
      <c r="B63" s="61">
        <f>B62+1</f>
        <v>60</v>
      </c>
      <c r="C63" s="62"/>
      <c r="D63" t="s" s="63">
        <v>90</v>
      </c>
      <c r="E63" s="64">
        <v>10</v>
      </c>
      <c r="F63" s="65">
        <v>46181</v>
      </c>
      <c r="G63" s="65">
        <v>46191</v>
      </c>
      <c r="H63" s="91"/>
      <c r="I63" s="92"/>
      <c r="J63" s="60">
        <v>0</v>
      </c>
      <c r="K63" s="34"/>
    </row>
    <row r="64" ht="44.25" customHeight="1">
      <c r="A64" s="29"/>
      <c r="B64" s="40">
        <f>B63+1</f>
        <v>61</v>
      </c>
      <c r="C64" t="s" s="93">
        <v>91</v>
      </c>
      <c r="D64" t="s" s="94">
        <v>92</v>
      </c>
      <c r="E64" s="95">
        <v>10</v>
      </c>
      <c r="F64" s="44">
        <v>46192</v>
      </c>
      <c r="G64" s="44">
        <v>46203</v>
      </c>
      <c r="H64" s="96"/>
      <c r="I64" s="97"/>
      <c r="J64" s="67">
        <v>0</v>
      </c>
      <c r="K64" s="34"/>
    </row>
  </sheetData>
  <mergeCells count="11">
    <mergeCell ref="C61:C63"/>
    <mergeCell ref="C9:C12"/>
    <mergeCell ref="B2:D2"/>
    <mergeCell ref="C13:C49"/>
    <mergeCell ref="C50:C52"/>
    <mergeCell ref="C53:C55"/>
    <mergeCell ref="C56:C57"/>
    <mergeCell ref="F2:G2"/>
    <mergeCell ref="H2:I2"/>
    <mergeCell ref="C5:C8"/>
    <mergeCell ref="C58:C6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4"/>
  <sheetViews>
    <sheetView workbookViewId="0" showGridLines="0" defaultGridColor="1"/>
  </sheetViews>
  <sheetFormatPr defaultColWidth="9.16667" defaultRowHeight="12.75" customHeight="1" outlineLevelRow="0" outlineLevelCol="0"/>
  <cols>
    <col min="1" max="1" width="2.67188" style="98" customWidth="1"/>
    <col min="2" max="2" width="3" style="98" customWidth="1"/>
    <col min="3" max="3" width="4" style="98" customWidth="1"/>
    <col min="4" max="4" width="9.35156" style="98" customWidth="1"/>
    <col min="5" max="5" width="21.6719" style="98" customWidth="1"/>
    <col min="6" max="6" width="56.1719" style="98" customWidth="1"/>
    <col min="7" max="7" width="10" style="98" customWidth="1"/>
    <col min="8" max="8" width="19.3516" style="98" customWidth="1"/>
    <col min="9" max="9" width="28.8516" style="98" customWidth="1"/>
    <col min="10" max="10" width="10.3516" style="98" customWidth="1"/>
    <col min="11" max="11" width="33.3516" style="98" customWidth="1"/>
    <col min="12" max="16384" width="9.17188" style="98" customWidth="1"/>
  </cols>
  <sheetData>
    <row r="1" ht="13.5" customHeight="1">
      <c r="A1" s="99"/>
      <c r="B1" s="99"/>
      <c r="C1" s="99"/>
      <c r="D1" s="99"/>
      <c r="E1" s="100"/>
      <c r="F1" s="100"/>
      <c r="G1" s="99"/>
      <c r="H1" s="99"/>
      <c r="I1" s="99"/>
      <c r="J1" s="99"/>
      <c r="K1" s="99"/>
    </row>
    <row r="2" ht="13.5" customHeight="1">
      <c r="A2" s="99"/>
      <c r="B2" s="99"/>
      <c r="C2" s="99"/>
      <c r="D2" s="101"/>
      <c r="E2" t="s" s="102">
        <v>93</v>
      </c>
      <c r="F2" s="103">
        <v>45634</v>
      </c>
      <c r="G2" s="104"/>
      <c r="H2" s="99"/>
      <c r="I2" s="99"/>
      <c r="J2" s="99"/>
      <c r="K2" s="99"/>
    </row>
    <row r="3" ht="14.25" customHeight="1">
      <c r="A3" s="99"/>
      <c r="B3" s="99"/>
      <c r="C3" s="99"/>
      <c r="D3" s="101"/>
      <c r="E3" t="s" s="105">
        <v>94</v>
      </c>
      <c r="F3" s="106">
        <v>2</v>
      </c>
      <c r="G3" s="104"/>
      <c r="H3" s="99"/>
      <c r="I3" s="99"/>
      <c r="J3" s="99"/>
      <c r="K3" s="99"/>
    </row>
    <row r="4" ht="13.75" customHeight="1">
      <c r="A4" s="99"/>
      <c r="B4" s="99"/>
      <c r="C4" s="99"/>
      <c r="D4" s="101"/>
      <c r="E4" t="s" s="107">
        <v>95</v>
      </c>
      <c r="F4" t="s" s="108">
        <v>96</v>
      </c>
      <c r="G4" s="104"/>
      <c r="H4" s="99"/>
      <c r="I4" s="99"/>
      <c r="J4" s="99"/>
      <c r="K4" s="99"/>
    </row>
    <row r="5" ht="13.75" customHeight="1">
      <c r="A5" s="99"/>
      <c r="B5" s="99"/>
      <c r="C5" s="99"/>
      <c r="D5" s="101"/>
      <c r="E5" t="s" s="107">
        <v>97</v>
      </c>
      <c r="F5" s="109">
        <v>46006</v>
      </c>
      <c r="G5" s="104"/>
      <c r="H5" s="99"/>
      <c r="I5" s="99"/>
      <c r="J5" s="99"/>
      <c r="K5" s="99"/>
    </row>
    <row r="6" ht="13.5" customHeight="1">
      <c r="A6" s="99"/>
      <c r="B6" s="99"/>
      <c r="C6" s="99"/>
      <c r="D6" s="101"/>
      <c r="E6" t="s" s="110">
        <v>98</v>
      </c>
      <c r="F6" s="111">
        <f>F5+4</f>
        <v>46010</v>
      </c>
      <c r="G6" s="104"/>
      <c r="H6" s="99"/>
      <c r="I6" s="99"/>
      <c r="J6" s="99"/>
      <c r="K6" s="99"/>
    </row>
    <row r="7" ht="13.5" customHeight="1">
      <c r="A7" s="99"/>
      <c r="B7" s="99"/>
      <c r="C7" s="100"/>
      <c r="D7" s="100"/>
      <c r="E7" s="112"/>
      <c r="F7" s="112"/>
      <c r="G7" s="100"/>
      <c r="H7" s="100"/>
      <c r="I7" s="100"/>
      <c r="J7" s="100"/>
      <c r="K7" s="100"/>
    </row>
    <row r="8" ht="13.5" customHeight="1">
      <c r="A8" s="99"/>
      <c r="B8" s="101"/>
      <c r="C8" t="s" s="113">
        <v>99</v>
      </c>
      <c r="D8" t="s" s="114">
        <v>100</v>
      </c>
      <c r="E8" t="s" s="115">
        <v>19</v>
      </c>
      <c r="F8" t="s" s="115">
        <v>101</v>
      </c>
      <c r="G8" t="s" s="115">
        <v>102</v>
      </c>
      <c r="H8" t="s" s="115">
        <v>103</v>
      </c>
      <c r="I8" t="s" s="115">
        <v>104</v>
      </c>
      <c r="J8" t="s" s="115">
        <v>105</v>
      </c>
      <c r="K8" t="s" s="116">
        <v>106</v>
      </c>
    </row>
    <row r="9" ht="14.25" customHeight="1">
      <c r="A9" s="99"/>
      <c r="B9" s="101"/>
      <c r="C9" s="117">
        <v>1</v>
      </c>
      <c r="D9" s="118">
        <f>F5</f>
        <v>46006</v>
      </c>
      <c r="E9" t="s" s="119">
        <v>31</v>
      </c>
      <c r="F9" t="s" s="119">
        <v>32</v>
      </c>
      <c r="G9" t="s" s="119">
        <v>107</v>
      </c>
      <c r="H9" s="120"/>
      <c r="I9" s="120"/>
      <c r="J9" s="121"/>
      <c r="K9" s="122"/>
    </row>
    <row r="10" ht="13.75" customHeight="1">
      <c r="A10" s="99"/>
      <c r="B10" s="101"/>
      <c r="C10" s="123">
        <v>2</v>
      </c>
      <c r="D10" s="124">
        <f>D9+1</f>
        <v>46007</v>
      </c>
      <c r="E10" t="s" s="119">
        <v>31</v>
      </c>
      <c r="F10" t="s" s="119">
        <v>33</v>
      </c>
      <c r="G10" t="s" s="119">
        <v>107</v>
      </c>
      <c r="H10" s="120"/>
      <c r="I10" s="120"/>
      <c r="J10" s="121"/>
      <c r="K10" s="122"/>
    </row>
    <row r="11" ht="13.75" customHeight="1">
      <c r="A11" s="99"/>
      <c r="B11" s="101"/>
      <c r="C11" s="123">
        <v>3</v>
      </c>
      <c r="D11" s="124">
        <f>D10+1</f>
        <v>46008</v>
      </c>
      <c r="E11" t="s" s="119">
        <v>31</v>
      </c>
      <c r="F11" t="s" s="119">
        <v>108</v>
      </c>
      <c r="G11" t="s" s="119">
        <v>107</v>
      </c>
      <c r="H11" s="120"/>
      <c r="I11" s="120"/>
      <c r="J11" s="121"/>
      <c r="K11" s="122"/>
    </row>
    <row r="12" ht="13.75" customHeight="1">
      <c r="A12" s="99"/>
      <c r="B12" s="101"/>
      <c r="C12" s="123">
        <v>4</v>
      </c>
      <c r="D12" s="124">
        <f>D11+1</f>
        <v>46009</v>
      </c>
      <c r="E12" t="s" s="119">
        <v>31</v>
      </c>
      <c r="F12" t="s" s="119">
        <v>108</v>
      </c>
      <c r="G12" t="s" s="119">
        <v>107</v>
      </c>
      <c r="H12" s="120"/>
      <c r="I12" s="120"/>
      <c r="J12" s="121"/>
      <c r="K12" s="122"/>
    </row>
    <row r="13" ht="13.75" customHeight="1">
      <c r="A13" s="99"/>
      <c r="B13" s="101"/>
      <c r="C13" s="123">
        <v>5</v>
      </c>
      <c r="D13" s="124">
        <f>D12+1</f>
        <v>46010</v>
      </c>
      <c r="E13" t="s" s="119">
        <v>31</v>
      </c>
      <c r="F13" t="s" s="119">
        <v>109</v>
      </c>
      <c r="G13" t="s" s="119">
        <v>107</v>
      </c>
      <c r="H13" s="120"/>
      <c r="I13" s="120"/>
      <c r="J13" s="121"/>
      <c r="K13" s="122"/>
    </row>
    <row r="14" ht="13.75" customHeight="1">
      <c r="A14" s="99"/>
      <c r="B14" s="101"/>
      <c r="C14" s="125"/>
      <c r="D14" s="124"/>
      <c r="E14" s="120"/>
      <c r="F14" s="120"/>
      <c r="G14" s="120"/>
      <c r="H14" s="120"/>
      <c r="I14" s="120"/>
      <c r="J14" s="124"/>
      <c r="K14" s="1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14"/>
  <sheetViews>
    <sheetView workbookViewId="0" showGridLines="0" defaultGridColor="1"/>
  </sheetViews>
  <sheetFormatPr defaultColWidth="9.16667" defaultRowHeight="12.75" customHeight="1" outlineLevelRow="0" outlineLevelCol="0"/>
  <cols>
    <col min="1" max="1" width="2.67188" style="126" customWidth="1"/>
    <col min="2" max="2" width="3" style="126" customWidth="1"/>
    <col min="3" max="3" width="4" style="126" customWidth="1"/>
    <col min="4" max="4" width="9.35156" style="126" customWidth="1"/>
    <col min="5" max="5" width="21.6719" style="126" customWidth="1"/>
    <col min="6" max="6" width="56.1719" style="126" customWidth="1"/>
    <col min="7" max="7" width="10" style="126" customWidth="1"/>
    <col min="8" max="8" width="19.3516" style="126" customWidth="1"/>
    <col min="9" max="9" width="28.8516" style="126" customWidth="1"/>
    <col min="10" max="10" width="10.3516" style="126" customWidth="1"/>
    <col min="11" max="11" width="33.3516" style="126" customWidth="1"/>
    <col min="12" max="16384" width="9.17188" style="126" customWidth="1"/>
  </cols>
  <sheetData>
    <row r="1" ht="13.5" customHeight="1">
      <c r="A1" s="99"/>
      <c r="B1" s="99"/>
      <c r="C1" s="99"/>
      <c r="D1" s="99"/>
      <c r="E1" s="100"/>
      <c r="F1" s="100"/>
      <c r="G1" s="99"/>
      <c r="H1" s="99"/>
      <c r="I1" s="99"/>
      <c r="J1" s="99"/>
      <c r="K1" s="99"/>
    </row>
    <row r="2" ht="13.5" customHeight="1">
      <c r="A2" s="99"/>
      <c r="B2" s="99"/>
      <c r="C2" s="99"/>
      <c r="D2" s="101"/>
      <c r="E2" t="s" s="102">
        <v>93</v>
      </c>
      <c r="F2" s="103">
        <v>45634</v>
      </c>
      <c r="G2" s="104"/>
      <c r="H2" s="99"/>
      <c r="I2" s="99"/>
      <c r="J2" s="99"/>
      <c r="K2" s="99"/>
    </row>
    <row r="3" ht="14.25" customHeight="1">
      <c r="A3" s="99"/>
      <c r="B3" s="99"/>
      <c r="C3" s="99"/>
      <c r="D3" s="101"/>
      <c r="E3" t="s" s="105">
        <v>94</v>
      </c>
      <c r="F3" s="106">
        <v>1</v>
      </c>
      <c r="G3" s="104"/>
      <c r="H3" s="99"/>
      <c r="I3" s="99"/>
      <c r="J3" s="99"/>
      <c r="K3" s="99"/>
    </row>
    <row r="4" ht="13.75" customHeight="1">
      <c r="A4" s="99"/>
      <c r="B4" s="99"/>
      <c r="C4" s="99"/>
      <c r="D4" s="101"/>
      <c r="E4" t="s" s="107">
        <v>95</v>
      </c>
      <c r="F4" t="s" s="108">
        <v>110</v>
      </c>
      <c r="G4" s="104"/>
      <c r="H4" s="99"/>
      <c r="I4" s="99"/>
      <c r="J4" s="99"/>
      <c r="K4" s="99"/>
    </row>
    <row r="5" ht="13.75" customHeight="1">
      <c r="A5" s="99"/>
      <c r="B5" s="99"/>
      <c r="C5" s="99"/>
      <c r="D5" s="101"/>
      <c r="E5" t="s" s="107">
        <v>97</v>
      </c>
      <c r="F5" s="109">
        <v>45999</v>
      </c>
      <c r="G5" s="104"/>
      <c r="H5" s="99"/>
      <c r="I5" s="99"/>
      <c r="J5" s="99"/>
      <c r="K5" s="99"/>
    </row>
    <row r="6" ht="13.5" customHeight="1">
      <c r="A6" s="99"/>
      <c r="B6" s="99"/>
      <c r="C6" s="99"/>
      <c r="D6" s="101"/>
      <c r="E6" t="s" s="110">
        <v>98</v>
      </c>
      <c r="F6" s="111">
        <f>F5+4</f>
        <v>46003</v>
      </c>
      <c r="G6" s="104"/>
      <c r="H6" s="99"/>
      <c r="I6" s="99"/>
      <c r="J6" s="99"/>
      <c r="K6" s="99"/>
    </row>
    <row r="7" ht="13.5" customHeight="1">
      <c r="A7" s="99"/>
      <c r="B7" s="99"/>
      <c r="C7" s="100"/>
      <c r="D7" s="100"/>
      <c r="E7" s="112"/>
      <c r="F7" s="112"/>
      <c r="G7" s="100"/>
      <c r="H7" s="100"/>
      <c r="I7" s="100"/>
      <c r="J7" s="100"/>
      <c r="K7" s="100"/>
    </row>
    <row r="8" ht="13.5" customHeight="1">
      <c r="A8" s="99"/>
      <c r="B8" s="101"/>
      <c r="C8" t="s" s="113">
        <v>99</v>
      </c>
      <c r="D8" t="s" s="114">
        <v>100</v>
      </c>
      <c r="E8" t="s" s="115">
        <v>19</v>
      </c>
      <c r="F8" t="s" s="115">
        <v>101</v>
      </c>
      <c r="G8" t="s" s="115">
        <v>102</v>
      </c>
      <c r="H8" t="s" s="115">
        <v>103</v>
      </c>
      <c r="I8" t="s" s="115">
        <v>104</v>
      </c>
      <c r="J8" t="s" s="115">
        <v>105</v>
      </c>
      <c r="K8" t="s" s="116">
        <v>106</v>
      </c>
    </row>
    <row r="9" ht="25.5" customHeight="1">
      <c r="A9" s="99"/>
      <c r="B9" s="101"/>
      <c r="C9" s="117">
        <v>1</v>
      </c>
      <c r="D9" s="118">
        <v>45999</v>
      </c>
      <c r="E9" t="s" s="119">
        <v>26</v>
      </c>
      <c r="F9" t="s" s="119">
        <v>111</v>
      </c>
      <c r="G9" t="s" s="119">
        <v>107</v>
      </c>
      <c r="H9" s="120"/>
      <c r="I9" s="120"/>
      <c r="J9" s="121"/>
      <c r="K9" s="122"/>
    </row>
    <row r="10" ht="13.75" customHeight="1">
      <c r="A10" s="99"/>
      <c r="B10" s="101"/>
      <c r="C10" s="123">
        <v>2</v>
      </c>
      <c r="D10" s="124">
        <f>D9+1</f>
        <v>46000</v>
      </c>
      <c r="E10" t="s" s="119">
        <v>26</v>
      </c>
      <c r="F10" t="s" s="119">
        <v>112</v>
      </c>
      <c r="G10" t="s" s="119">
        <v>107</v>
      </c>
      <c r="H10" s="120"/>
      <c r="I10" s="120"/>
      <c r="J10" s="121"/>
      <c r="K10" s="122"/>
    </row>
    <row r="11" ht="13.75" customHeight="1">
      <c r="A11" s="99"/>
      <c r="B11" s="101"/>
      <c r="C11" s="123">
        <v>3</v>
      </c>
      <c r="D11" s="124">
        <f>D10+1</f>
        <v>46001</v>
      </c>
      <c r="E11" t="s" s="119">
        <v>26</v>
      </c>
      <c r="F11" t="s" s="119">
        <v>113</v>
      </c>
      <c r="G11" t="s" s="119">
        <v>107</v>
      </c>
      <c r="H11" s="120"/>
      <c r="I11" s="120"/>
      <c r="J11" s="121"/>
      <c r="K11" s="122"/>
    </row>
    <row r="12" ht="13.75" customHeight="1">
      <c r="A12" s="99"/>
      <c r="B12" s="101"/>
      <c r="C12" s="123">
        <v>4</v>
      </c>
      <c r="D12" s="124">
        <f>D11+1</f>
        <v>46002</v>
      </c>
      <c r="E12" t="s" s="119">
        <v>26</v>
      </c>
      <c r="F12" t="s" s="119">
        <v>113</v>
      </c>
      <c r="G12" t="s" s="119">
        <v>107</v>
      </c>
      <c r="H12" s="120"/>
      <c r="I12" s="120"/>
      <c r="J12" s="121"/>
      <c r="K12" s="122"/>
    </row>
    <row r="13" ht="13.75" customHeight="1">
      <c r="A13" s="99"/>
      <c r="B13" s="101"/>
      <c r="C13" s="123">
        <v>5</v>
      </c>
      <c r="D13" s="124">
        <f>D12+1</f>
        <v>46003</v>
      </c>
      <c r="E13" t="s" s="119">
        <v>26</v>
      </c>
      <c r="F13" t="s" s="119">
        <v>114</v>
      </c>
      <c r="G13" t="s" s="119">
        <v>107</v>
      </c>
      <c r="H13" s="120"/>
      <c r="I13" s="120"/>
      <c r="J13" s="121"/>
      <c r="K13" s="122"/>
    </row>
    <row r="14" ht="13.75" customHeight="1">
      <c r="A14" s="99"/>
      <c r="B14" s="101"/>
      <c r="C14" s="125"/>
      <c r="D14" s="124"/>
      <c r="E14" s="120"/>
      <c r="F14" s="120"/>
      <c r="G14" s="120"/>
      <c r="H14" s="120"/>
      <c r="I14" s="120"/>
      <c r="J14" s="124"/>
      <c r="K14" s="1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